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222877ee658e001/Documents/Hardware Design/Projects/"/>
    </mc:Choice>
  </mc:AlternateContent>
  <xr:revisionPtr revIDLastSave="415" documentId="11_F25DC773A252ABDACC10483A095C606A5BDE58E8" xr6:coauthVersionLast="47" xr6:coauthVersionMax="47" xr10:uidLastSave="{96DFE150-763A-49A5-8086-451E0C992EB5}"/>
  <bookViews>
    <workbookView xWindow="-90" yWindow="0" windowWidth="19380" windowHeight="20970" xr2:uid="{00000000-000D-0000-FFFF-FFFF00000000}"/>
  </bookViews>
  <sheets>
    <sheet name="Regulator" sheetId="1" r:id="rId1"/>
    <sheet name="Enable" sheetId="4" r:id="rId2"/>
    <sheet name="TPS63700" sheetId="3" r:id="rId3"/>
    <sheet name="Simpl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C7" i="4"/>
  <c r="C2" i="4"/>
  <c r="F21" i="3"/>
  <c r="F17" i="3"/>
  <c r="E5" i="3"/>
  <c r="E11" i="3"/>
  <c r="E4" i="3"/>
  <c r="E3" i="3"/>
  <c r="E10" i="3"/>
  <c r="C2" i="2"/>
  <c r="E40" i="1"/>
  <c r="E42" i="1"/>
  <c r="E41" i="1"/>
  <c r="E33" i="1"/>
  <c r="E34" i="1"/>
  <c r="E32" i="1"/>
  <c r="J26" i="1"/>
  <c r="J25" i="1"/>
  <c r="J24" i="1"/>
  <c r="I26" i="1"/>
  <c r="I25" i="1"/>
  <c r="I24" i="1"/>
  <c r="H26" i="1"/>
  <c r="H25" i="1"/>
  <c r="H24" i="1"/>
  <c r="G7" i="1"/>
  <c r="G15" i="1"/>
  <c r="H15" i="1"/>
  <c r="I15" i="1"/>
  <c r="J15" i="1"/>
  <c r="G16" i="1"/>
  <c r="H16" i="1"/>
  <c r="I16" i="1"/>
  <c r="J16" i="1"/>
  <c r="G17" i="1"/>
  <c r="H17" i="1"/>
  <c r="I17" i="1"/>
  <c r="J17" i="1"/>
  <c r="G6" i="1"/>
  <c r="G5" i="1"/>
  <c r="H23" i="1"/>
  <c r="I23" i="1"/>
  <c r="J23" i="1" s="1"/>
  <c r="I14" i="1"/>
  <c r="H14" i="1"/>
  <c r="J14" i="1" s="1"/>
  <c r="G14" i="1"/>
  <c r="G4" i="1"/>
</calcChain>
</file>

<file path=xl/sharedStrings.xml><?xml version="1.0" encoding="utf-8"?>
<sst xmlns="http://schemas.openxmlformats.org/spreadsheetml/2006/main" count="104" uniqueCount="44">
  <si>
    <t>Input Values</t>
  </si>
  <si>
    <t>Vout</t>
  </si>
  <si>
    <t>fsw</t>
  </si>
  <si>
    <t>K</t>
  </si>
  <si>
    <t>I out_max</t>
  </si>
  <si>
    <t>Output Values</t>
  </si>
  <si>
    <t>L</t>
  </si>
  <si>
    <t>Vin max</t>
  </si>
  <si>
    <t>Design</t>
  </si>
  <si>
    <t>Example</t>
  </si>
  <si>
    <t>TI Example</t>
  </si>
  <si>
    <t>Step 1: Calculate Inductance</t>
  </si>
  <si>
    <t>L (select close value)</t>
  </si>
  <si>
    <r>
      <t>I</t>
    </r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L</t>
    </r>
  </si>
  <si>
    <t>IL_peak</t>
  </si>
  <si>
    <t>Step 2: Calculate new K, peak current</t>
  </si>
  <si>
    <t>IL_rms</t>
  </si>
  <si>
    <t>Step 3:Calculate Cout</t>
  </si>
  <si>
    <t>Δvout</t>
  </si>
  <si>
    <t>k</t>
  </si>
  <si>
    <t>D</t>
  </si>
  <si>
    <t>Cout</t>
  </si>
  <si>
    <t>Cout (uf)</t>
  </si>
  <si>
    <t>3V3</t>
  </si>
  <si>
    <t>5V</t>
  </si>
  <si>
    <t>15V</t>
  </si>
  <si>
    <t>Calculate Output Voltage</t>
  </si>
  <si>
    <t>Vref</t>
  </si>
  <si>
    <t>Rfbt</t>
  </si>
  <si>
    <t>Rfbb</t>
  </si>
  <si>
    <t>V</t>
  </si>
  <si>
    <t>R</t>
  </si>
  <si>
    <t>I (mA)</t>
  </si>
  <si>
    <t>Vin</t>
  </si>
  <si>
    <t>R2</t>
  </si>
  <si>
    <t>R3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</si>
  <si>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IL</t>
    </r>
  </si>
  <si>
    <t>f</t>
  </si>
  <si>
    <t>PD Voltage</t>
  </si>
  <si>
    <t>Max EN Voltage</t>
  </si>
  <si>
    <t>Divider</t>
  </si>
  <si>
    <t>R1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</si>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</sst>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11" fontId="0" fillId="0" borderId="1" xfId="0" applyNumberFormat="1" applyBorder="1"/>
    <xf numFmtId="11" fontId="0" fillId="0" borderId="0" xfId="0" applyNumberFormat="1"/>
    <xf numFmtId="2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260350</xdr:colOff>
      <xdr:row>1</xdr:row>
      <xdr:rowOff>158750</xdr:rowOff>
    </xdr:from>
    <xdr:to>
      <xdr:col>20</xdr:col>
      <xdr:colOff>209550</xdr:colOff>
      <xdr:row>10</xdr:row>
      <xdr:rowOff>62387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2BEC8-2A48-0161-BBF2-C5FE2C2F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7950" y="342900"/>
          <a:ext cx="4826000" cy="1560987"/>
        </a:xfrm>
        <a:prstGeom prst="rect">
          <a:avLst/>
        </a:prstGeom>
      </xdr:spPr>
    </xdr:pic>
    <xdr:clientData/>
  </xdr:twoCellAnchor>
  <xdr:twoCellAnchor editAs="oneCell">
    <xdr:from>
      <xdr:col>0</xdr:col>
      <xdr:colOff>1111250</xdr:colOff>
      <xdr:row>45</xdr:row>
      <xdr:rowOff>25400</xdr:rowOff>
    </xdr:from>
    <xdr:to>
      <xdr:col>7</xdr:col>
      <xdr:colOff>330200</xdr:colOff>
      <xdr:row>47</xdr:row>
      <xdr:rowOff>162454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1AA973-0436-4FD9-3116-A4C404EE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8312150"/>
          <a:ext cx="6178550" cy="505354"/>
        </a:xfrm>
        <a:prstGeom prst="rect">
          <a:avLst/>
        </a:prstGeom>
      </xdr:spPr>
    </xdr:pic>
    <xdr:clientData/>
  </xdr:twoCellAnchor>
  <xdr:oneCellAnchor>
    <xdr:from>
      <xdr:col>10</xdr:col>
      <xdr:colOff>311150</xdr:colOff>
      <xdr:row>12</xdr:row>
      <xdr:rowOff>127000</xdr:rowOff>
    </xdr:from>
    <xdr:ext cx="2794676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891853-FC7C-EEB2-6B83-F3E1F76F9ADB}"/>
            </a:ext>
          </a:extLst>
        </xdr:cNvPr>
        <xdr:cNvSpPr txBox="1"/>
      </xdr:nvSpPr>
      <xdr:spPr>
        <a:xfrm>
          <a:off x="9271000" y="2336800"/>
          <a:ext cx="279467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Selection:</a:t>
          </a:r>
        </a:p>
        <a:p>
          <a:r>
            <a:rPr lang="en-US" sz="1100"/>
            <a:t>To</a:t>
          </a:r>
          <a:r>
            <a:rPr lang="en-US" sz="1100" baseline="0"/>
            <a:t> select an induction</a:t>
          </a:r>
        </a:p>
        <a:p>
          <a:r>
            <a:rPr lang="en-US" sz="1100" baseline="0"/>
            <a:t>Saturation current &gt; IHS_LIMIT and &gt; IL_PEAK</a:t>
          </a:r>
        </a:p>
        <a:p>
          <a:r>
            <a:rPr lang="en-US" sz="1100" baseline="0"/>
            <a:t>RMS Current Rating needs to be &gt; IL_RMS</a:t>
          </a:r>
          <a:endParaRPr lang="en-US" sz="1100"/>
        </a:p>
      </xdr:txBody>
    </xdr:sp>
    <xdr:clientData/>
  </xdr:oneCellAnchor>
  <xdr:twoCellAnchor editAs="oneCell">
    <xdr:from>
      <xdr:col>10</xdr:col>
      <xdr:colOff>57150</xdr:colOff>
      <xdr:row>19</xdr:row>
      <xdr:rowOff>107950</xdr:rowOff>
    </xdr:from>
    <xdr:to>
      <xdr:col>18</xdr:col>
      <xdr:colOff>353147</xdr:colOff>
      <xdr:row>27</xdr:row>
      <xdr:rowOff>63699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EC1361-492B-84D5-42AF-6153D6B3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7000" y="3606800"/>
          <a:ext cx="5172797" cy="1428949"/>
        </a:xfrm>
        <a:prstGeom prst="rect">
          <a:avLst/>
        </a:prstGeom>
      </xdr:spPr>
    </xdr:pic>
    <xdr:clientData/>
  </xdr:twoCellAnchor>
  <xdr:twoCellAnchor editAs="oneCell">
    <xdr:from>
      <xdr:col>6</xdr:col>
      <xdr:colOff>869950</xdr:colOff>
      <xdr:row>31</xdr:row>
      <xdr:rowOff>88900</xdr:rowOff>
    </xdr:from>
    <xdr:to>
      <xdr:col>12</xdr:col>
      <xdr:colOff>546642</xdr:colOff>
      <xdr:row>38</xdr:row>
      <xdr:rowOff>76378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48A6FE-0650-45A8-421E-167B5B65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8950" y="5797550"/>
          <a:ext cx="3886742" cy="1276528"/>
        </a:xfrm>
        <a:prstGeom prst="rect">
          <a:avLst/>
        </a:prstGeom>
      </xdr:spPr>
    </xdr:pic>
    <xdr:clientData/>
  </xdr:twoCellAnchor>
  <xdr:oneCellAnchor>
    <xdr:from>
      <xdr:col>6</xdr:col>
      <xdr:colOff>926662</xdr:colOff>
      <xdr:row>38</xdr:row>
      <xdr:rowOff>35472</xdr:rowOff>
    </xdr:from>
    <xdr:ext cx="2896476" cy="3445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D362BB8-FD63-0D56-F7DD-3E51AD6E7651}"/>
                </a:ext>
              </a:extLst>
            </xdr:cNvPr>
            <xdr:cNvSpPr txBox="1"/>
          </xdr:nvSpPr>
          <xdr:spPr>
            <a:xfrm>
              <a:off x="6891283" y="7024851"/>
              <a:ext cx="289647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𝐹𝐵𝑇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 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𝑅𝐸𝐹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𝐹𝐵𝐵</m:t>
                            </m:r>
                          </m:sub>
                        </m:sSub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𝑂𝑈𝑇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𝑅𝐸𝐹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D362BB8-FD63-0D56-F7DD-3E51AD6E7651}"/>
                </a:ext>
              </a:extLst>
            </xdr:cNvPr>
            <xdr:cNvSpPr txBox="1"/>
          </xdr:nvSpPr>
          <xdr:spPr>
            <a:xfrm>
              <a:off x="6891283" y="7024851"/>
              <a:ext cx="289647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(𝑅_𝐹𝐵𝑇∗ 𝑉_𝑅𝐸𝐹)/𝑅_𝐹𝐵𝐵 =〖(𝑉〗_𝑂𝑈𝑇−𝑉_𝑅𝐸𝐹)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842579</xdr:colOff>
      <xdr:row>40</xdr:row>
      <xdr:rowOff>148458</xdr:rowOff>
    </xdr:from>
    <xdr:ext cx="2896476" cy="3445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562D2D-D38A-4A35-83BB-52AFC50C708F}"/>
                </a:ext>
              </a:extLst>
            </xdr:cNvPr>
            <xdr:cNvSpPr txBox="1"/>
          </xdr:nvSpPr>
          <xdr:spPr>
            <a:xfrm>
              <a:off x="6807200" y="7505699"/>
              <a:ext cx="289647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𝐹𝐵𝑇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 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𝑅𝐸𝐹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𝐹𝐵𝐵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𝑅𝐸𝐹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𝑂𝑈𝑇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4562D2D-D38A-4A35-83BB-52AFC50C708F}"/>
                </a:ext>
              </a:extLst>
            </xdr:cNvPr>
            <xdr:cNvSpPr txBox="1"/>
          </xdr:nvSpPr>
          <xdr:spPr>
            <a:xfrm>
              <a:off x="6807200" y="7505699"/>
              <a:ext cx="289647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(𝑅_𝐹𝐵𝑇∗ 𝑉_𝑅𝐸𝐹)/𝑅_𝐹𝐵𝐵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𝑉_𝑅𝐸𝐹</a:t>
              </a:r>
              <a:r>
                <a:rPr lang="en-US" sz="1100" b="0" i="0">
                  <a:latin typeface="Cambria Math" panose="02040503050406030204" pitchFamily="18" charset="0"/>
                </a:rPr>
                <a:t>=𝑉_𝑂𝑈𝑇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10</xdr:col>
      <xdr:colOff>285750</xdr:colOff>
      <xdr:row>21</xdr:row>
      <xdr:rowOff>69850</xdr:rowOff>
    </xdr:to>
    <xdr:pic>
      <xdr:nvPicPr>
        <xdr:cNvPr id="2" name="Picture 1" descr="Voltage Divider Calculator - Engineering Calculators &amp; Tools">
          <a:extLst>
            <a:ext uri="{FF2B5EF4-FFF2-40B4-BE49-F238E27FC236}">
              <a16:creationId xmlns:a16="http://schemas.microsoft.com/office/drawing/2014/main" id="{C75A9150-4246-29C7-E31C-E9F939A7C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736600"/>
          <a:ext cx="272415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19" zoomScale="145" zoomScaleNormal="145" workbookViewId="0">
      <selection activeCell="D33" sqref="D33"/>
    </sheetView>
  </sheetViews>
  <sheetFormatPr defaultRowHeight="14.5" x14ac:dyDescent="0.35"/>
  <cols>
    <col min="1" max="1" width="23.36328125" customWidth="1"/>
    <col min="2" max="2" width="13" customWidth="1"/>
    <col min="5" max="5" width="18.6328125" customWidth="1"/>
    <col min="6" max="6" width="13" customWidth="1"/>
    <col min="7" max="7" width="14.1796875" customWidth="1"/>
    <col min="8" max="8" width="11.1796875" customWidth="1"/>
  </cols>
  <sheetData>
    <row r="1" spans="1:10" x14ac:dyDescent="0.35">
      <c r="A1" s="11" t="s">
        <v>11</v>
      </c>
      <c r="B1" s="11"/>
      <c r="C1" s="11"/>
      <c r="D1" s="11"/>
      <c r="E1" s="11"/>
      <c r="F1" s="11"/>
      <c r="G1" s="11"/>
    </row>
    <row r="2" spans="1:10" x14ac:dyDescent="0.35">
      <c r="A2" s="1" t="s">
        <v>8</v>
      </c>
      <c r="B2" s="10" t="s">
        <v>0</v>
      </c>
      <c r="C2" s="10"/>
      <c r="D2" s="10"/>
      <c r="E2" s="10"/>
      <c r="F2" s="10"/>
      <c r="G2" s="1" t="s">
        <v>5</v>
      </c>
    </row>
    <row r="3" spans="1:10" x14ac:dyDescent="0.35">
      <c r="A3" s="1" t="s">
        <v>9</v>
      </c>
      <c r="B3" s="1" t="s">
        <v>7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</v>
      </c>
    </row>
    <row r="4" spans="1:10" x14ac:dyDescent="0.35">
      <c r="A4" s="1" t="s">
        <v>10</v>
      </c>
      <c r="B4" s="1">
        <v>30</v>
      </c>
      <c r="C4" s="1">
        <v>5</v>
      </c>
      <c r="D4" s="3">
        <v>500000</v>
      </c>
      <c r="E4" s="1">
        <v>0.4</v>
      </c>
      <c r="F4" s="1">
        <v>3</v>
      </c>
      <c r="G4" s="3">
        <f>((B4-C4)/(D4*E4*F4))*(C4/B4)</f>
        <v>6.9444444444444439E-6</v>
      </c>
    </row>
    <row r="5" spans="1:10" x14ac:dyDescent="0.35">
      <c r="A5" s="2" t="s">
        <v>23</v>
      </c>
      <c r="B5">
        <v>20</v>
      </c>
      <c r="C5">
        <v>3.3</v>
      </c>
      <c r="D5" s="4">
        <v>500000</v>
      </c>
      <c r="E5">
        <v>0.4</v>
      </c>
      <c r="F5">
        <v>3</v>
      </c>
      <c r="G5" s="3">
        <f t="shared" ref="G5:G6" si="0">((B5-C5)/(D5*E5*F5))*(C5/B5)</f>
        <v>4.5924999999999997E-6</v>
      </c>
    </row>
    <row r="6" spans="1:10" x14ac:dyDescent="0.35">
      <c r="A6" s="2" t="s">
        <v>24</v>
      </c>
      <c r="B6">
        <v>20</v>
      </c>
      <c r="C6">
        <v>5</v>
      </c>
      <c r="D6" s="4">
        <v>500000</v>
      </c>
      <c r="E6">
        <v>0.4</v>
      </c>
      <c r="F6">
        <v>3</v>
      </c>
      <c r="G6" s="3">
        <f t="shared" si="0"/>
        <v>6.2500000000000003E-6</v>
      </c>
    </row>
    <row r="7" spans="1:10" x14ac:dyDescent="0.35">
      <c r="A7" s="2" t="s">
        <v>25</v>
      </c>
      <c r="B7">
        <v>20</v>
      </c>
      <c r="C7">
        <v>15</v>
      </c>
      <c r="D7" s="4">
        <v>500000</v>
      </c>
      <c r="E7">
        <v>0.4</v>
      </c>
      <c r="F7">
        <v>3</v>
      </c>
      <c r="G7" s="3">
        <f>((B7-C7)/(D7*E7*F7))*(C7/B7)</f>
        <v>6.2500000000000003E-6</v>
      </c>
    </row>
    <row r="11" spans="1:10" x14ac:dyDescent="0.35">
      <c r="A11" s="11" t="s">
        <v>15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35">
      <c r="A12" s="1" t="s">
        <v>8</v>
      </c>
      <c r="B12" s="10" t="s">
        <v>0</v>
      </c>
      <c r="C12" s="10"/>
      <c r="D12" s="10"/>
      <c r="E12" s="10"/>
      <c r="F12" s="10"/>
      <c r="G12" s="10" t="s">
        <v>5</v>
      </c>
      <c r="H12" s="10"/>
      <c r="I12" s="10"/>
      <c r="J12" s="10"/>
    </row>
    <row r="13" spans="1:10" x14ac:dyDescent="0.35">
      <c r="A13" s="1" t="s">
        <v>9</v>
      </c>
      <c r="B13" s="1" t="s">
        <v>7</v>
      </c>
      <c r="C13" s="1" t="s">
        <v>1</v>
      </c>
      <c r="D13" s="1" t="s">
        <v>2</v>
      </c>
      <c r="E13" s="1" t="s">
        <v>12</v>
      </c>
      <c r="F13" s="1" t="s">
        <v>4</v>
      </c>
      <c r="G13" s="1" t="s">
        <v>3</v>
      </c>
      <c r="H13" s="1" t="s">
        <v>13</v>
      </c>
      <c r="I13" s="1" t="s">
        <v>14</v>
      </c>
      <c r="J13" s="1" t="s">
        <v>16</v>
      </c>
    </row>
    <row r="14" spans="1:10" x14ac:dyDescent="0.35">
      <c r="A14" s="1" t="s">
        <v>10</v>
      </c>
      <c r="B14" s="1">
        <v>30</v>
      </c>
      <c r="C14" s="1">
        <v>5</v>
      </c>
      <c r="D14" s="3">
        <v>500000</v>
      </c>
      <c r="E14" s="3">
        <v>6.8000000000000001E-6</v>
      </c>
      <c r="F14" s="1">
        <v>3</v>
      </c>
      <c r="G14" s="6">
        <f>(((B14-C14)/(D14*F14))*(C14/B14))/E14</f>
        <v>0.40849673202614378</v>
      </c>
      <c r="H14" s="3">
        <f>(C14/B14)*((B14-C14)/(E14*D14))</f>
        <v>1.2254901960784315</v>
      </c>
      <c r="I14" s="3">
        <f>F14+(H14/2)</f>
        <v>3.6127450980392157</v>
      </c>
      <c r="J14" s="1">
        <f>SQRT(POWER(F14,2)+(POWER(H14,2)/12))</f>
        <v>3.0207866831434869</v>
      </c>
    </row>
    <row r="15" spans="1:10" x14ac:dyDescent="0.35">
      <c r="A15" s="2" t="s">
        <v>23</v>
      </c>
      <c r="B15">
        <v>20</v>
      </c>
      <c r="C15">
        <v>3.3</v>
      </c>
      <c r="D15" s="4">
        <v>500000</v>
      </c>
      <c r="E15" s="4">
        <v>4.6999999999999999E-6</v>
      </c>
      <c r="F15">
        <v>3</v>
      </c>
      <c r="G15" s="6">
        <f t="shared" ref="G15:G17" si="1">(((B15-C15)/(D15*F15))*(C15/B15))/E15</f>
        <v>0.39085106382978713</v>
      </c>
      <c r="H15" s="3">
        <f t="shared" ref="H15:H17" si="2">(C15/B15)*((B15-C15)/(E15*D15))</f>
        <v>1.1725531914893614</v>
      </c>
      <c r="I15" s="3">
        <f t="shared" ref="I15:I17" si="3">F15+(H15/2)</f>
        <v>3.5862765957446809</v>
      </c>
      <c r="J15" s="1">
        <f t="shared" ref="J15:J17" si="4">SQRT(POWER(F15,2)+(POWER(H15,2)/12))</f>
        <v>3.0190351795851367</v>
      </c>
    </row>
    <row r="16" spans="1:10" x14ac:dyDescent="0.35">
      <c r="A16" s="2" t="s">
        <v>24</v>
      </c>
      <c r="B16">
        <v>20</v>
      </c>
      <c r="C16">
        <v>5</v>
      </c>
      <c r="D16" s="4">
        <v>500000</v>
      </c>
      <c r="E16" s="4">
        <v>6.8000000000000001E-6</v>
      </c>
      <c r="F16">
        <v>1</v>
      </c>
      <c r="G16" s="6">
        <f t="shared" si="1"/>
        <v>1.1029411764705883</v>
      </c>
      <c r="H16" s="3">
        <f t="shared" si="2"/>
        <v>1.1029411764705883</v>
      </c>
      <c r="I16" s="3">
        <f t="shared" si="3"/>
        <v>1.5514705882352942</v>
      </c>
      <c r="J16" s="1">
        <f t="shared" si="4"/>
        <v>1.0494633247027709</v>
      </c>
    </row>
    <row r="17" spans="1:10" x14ac:dyDescent="0.35">
      <c r="A17" s="2" t="s">
        <v>25</v>
      </c>
      <c r="B17">
        <v>20</v>
      </c>
      <c r="C17">
        <v>15</v>
      </c>
      <c r="D17" s="4">
        <v>500000</v>
      </c>
      <c r="E17" s="4">
        <v>6.8000000000000001E-6</v>
      </c>
      <c r="F17">
        <v>1</v>
      </c>
      <c r="G17" s="6">
        <f t="shared" si="1"/>
        <v>1.1029411764705883</v>
      </c>
      <c r="H17" s="3">
        <f t="shared" si="2"/>
        <v>1.1029411764705883</v>
      </c>
      <c r="I17" s="3">
        <f t="shared" si="3"/>
        <v>1.5514705882352942</v>
      </c>
      <c r="J17" s="1">
        <f t="shared" si="4"/>
        <v>1.0494633247027709</v>
      </c>
    </row>
    <row r="20" spans="1:10" x14ac:dyDescent="0.35">
      <c r="A20" s="12" t="s">
        <v>17</v>
      </c>
      <c r="B20" s="13"/>
      <c r="C20" s="13"/>
      <c r="D20" s="13"/>
      <c r="E20" s="13"/>
      <c r="F20" s="13"/>
      <c r="G20" s="13"/>
      <c r="H20" s="13"/>
      <c r="I20" s="13"/>
      <c r="J20" s="14"/>
    </row>
    <row r="21" spans="1:10" x14ac:dyDescent="0.35">
      <c r="A21" s="1" t="s">
        <v>8</v>
      </c>
      <c r="B21" s="10" t="s">
        <v>0</v>
      </c>
      <c r="C21" s="10"/>
      <c r="D21" s="10"/>
      <c r="E21" s="10"/>
      <c r="F21" s="10"/>
      <c r="G21" s="10"/>
      <c r="H21" s="10"/>
      <c r="I21" s="1" t="s">
        <v>5</v>
      </c>
      <c r="J21" s="1"/>
    </row>
    <row r="22" spans="1:10" x14ac:dyDescent="0.35">
      <c r="A22" s="1" t="s">
        <v>9</v>
      </c>
      <c r="B22" s="1" t="s">
        <v>7</v>
      </c>
      <c r="C22" s="1" t="s">
        <v>1</v>
      </c>
      <c r="D22" s="1" t="s">
        <v>13</v>
      </c>
      <c r="E22" s="1" t="s">
        <v>2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22</v>
      </c>
    </row>
    <row r="23" spans="1:10" x14ac:dyDescent="0.35">
      <c r="A23" s="1" t="s">
        <v>10</v>
      </c>
      <c r="B23" s="1">
        <v>30</v>
      </c>
      <c r="C23" s="1">
        <v>5</v>
      </c>
      <c r="D23" s="1">
        <v>1</v>
      </c>
      <c r="E23" s="3">
        <v>500000</v>
      </c>
      <c r="F23" s="1">
        <v>0.25</v>
      </c>
      <c r="G23" s="1">
        <v>0.4</v>
      </c>
      <c r="H23" s="1">
        <f>C23/B23</f>
        <v>0.16666666666666666</v>
      </c>
      <c r="I23" s="3">
        <f>(D23/(E23*F23*G23))*((1-H23)*(1+G23)+(POWER(G23,2)/12)*(2-H23))</f>
        <v>2.3822222222222225E-5</v>
      </c>
      <c r="J23" s="5">
        <f>I23*10^6</f>
        <v>23.822222222222226</v>
      </c>
    </row>
    <row r="24" spans="1:10" x14ac:dyDescent="0.35">
      <c r="A24" s="1" t="s">
        <v>23</v>
      </c>
      <c r="B24" s="1">
        <v>20</v>
      </c>
      <c r="C24" s="1">
        <v>3.3</v>
      </c>
      <c r="D24" s="1">
        <v>1</v>
      </c>
      <c r="E24" s="3">
        <v>500000</v>
      </c>
      <c r="F24" s="1">
        <v>0.25</v>
      </c>
      <c r="G24" s="1">
        <v>0.4</v>
      </c>
      <c r="H24" s="1">
        <f>C24/B24</f>
        <v>0.16499999999999998</v>
      </c>
      <c r="I24" s="3">
        <f>(D24/(E24*F24*G24))*((1-H24)*(1+G24)+(POWER(G24,2)/12)*(2-H24))</f>
        <v>2.3869333333333332E-5</v>
      </c>
      <c r="J24" s="5">
        <f>I24*10^6</f>
        <v>23.869333333333334</v>
      </c>
    </row>
    <row r="25" spans="1:10" x14ac:dyDescent="0.35">
      <c r="A25" s="1" t="s">
        <v>24</v>
      </c>
      <c r="B25" s="1">
        <v>20</v>
      </c>
      <c r="C25" s="1">
        <v>5</v>
      </c>
      <c r="D25" s="1">
        <v>1</v>
      </c>
      <c r="E25" s="3">
        <v>500000</v>
      </c>
      <c r="F25" s="1">
        <v>0.25</v>
      </c>
      <c r="G25" s="1">
        <v>0.4</v>
      </c>
      <c r="H25" s="1">
        <f>C25/B25</f>
        <v>0.25</v>
      </c>
      <c r="I25" s="3">
        <f>(D25/(E25*F25*G25))*((1-H25)*(1+G25)+(POWER(G25,2)/12)*(2-H25))</f>
        <v>2.1466666666666666E-5</v>
      </c>
      <c r="J25" s="5">
        <f>I25*10^6</f>
        <v>21.466666666666665</v>
      </c>
    </row>
    <row r="26" spans="1:10" x14ac:dyDescent="0.35">
      <c r="A26" s="1" t="s">
        <v>25</v>
      </c>
      <c r="B26" s="1">
        <v>20</v>
      </c>
      <c r="C26" s="1">
        <v>15</v>
      </c>
      <c r="D26" s="1">
        <v>1</v>
      </c>
      <c r="E26" s="3">
        <v>500000</v>
      </c>
      <c r="F26" s="1">
        <v>0.25</v>
      </c>
      <c r="G26" s="1">
        <v>0.4</v>
      </c>
      <c r="H26" s="1">
        <f>C26/B26</f>
        <v>0.75</v>
      </c>
      <c r="I26" s="3">
        <f>(D26/(E26*F26*G26))*((1-H26)*(1+G26)+(POWER(G26,2)/12)*(2-H26))</f>
        <v>7.3333333333333331E-6</v>
      </c>
      <c r="J26" s="5">
        <f>I26*10^6</f>
        <v>7.333333333333333</v>
      </c>
    </row>
    <row r="29" spans="1:10" x14ac:dyDescent="0.35">
      <c r="A29" s="11" t="s">
        <v>26</v>
      </c>
      <c r="B29" s="11"/>
      <c r="C29" s="11"/>
      <c r="D29" s="11"/>
      <c r="E29" s="11"/>
    </row>
    <row r="30" spans="1:10" x14ac:dyDescent="0.35">
      <c r="A30" s="1" t="s">
        <v>8</v>
      </c>
      <c r="B30" s="10" t="s">
        <v>0</v>
      </c>
      <c r="C30" s="10"/>
      <c r="D30" s="10"/>
      <c r="E30" s="1" t="s">
        <v>5</v>
      </c>
    </row>
    <row r="31" spans="1:10" x14ac:dyDescent="0.35">
      <c r="A31" s="1" t="s">
        <v>9</v>
      </c>
      <c r="B31" s="1" t="s">
        <v>1</v>
      </c>
      <c r="C31" s="1" t="s">
        <v>27</v>
      </c>
      <c r="D31" s="1" t="s">
        <v>29</v>
      </c>
      <c r="E31" s="1" t="s">
        <v>28</v>
      </c>
    </row>
    <row r="32" spans="1:10" x14ac:dyDescent="0.35">
      <c r="A32" s="1" t="s">
        <v>23</v>
      </c>
      <c r="B32" s="1">
        <v>3.3</v>
      </c>
      <c r="C32" s="1">
        <v>0.8</v>
      </c>
      <c r="D32" s="3">
        <v>10000</v>
      </c>
      <c r="E32" s="5">
        <f>((B32-C32)/C32)*D32</f>
        <v>31250</v>
      </c>
    </row>
    <row r="33" spans="1:5" x14ac:dyDescent="0.35">
      <c r="A33" s="1" t="s">
        <v>24</v>
      </c>
      <c r="B33" s="1">
        <v>5</v>
      </c>
      <c r="C33" s="1">
        <v>0.8</v>
      </c>
      <c r="D33" s="3">
        <v>10200</v>
      </c>
      <c r="E33" s="5">
        <f>((B33-C33)/C33)*D33</f>
        <v>53550</v>
      </c>
    </row>
    <row r="34" spans="1:5" x14ac:dyDescent="0.35">
      <c r="A34" s="1" t="s">
        <v>25</v>
      </c>
      <c r="B34" s="1">
        <v>15</v>
      </c>
      <c r="C34" s="1">
        <v>0.8</v>
      </c>
      <c r="D34" s="3">
        <v>10000</v>
      </c>
      <c r="E34" s="5">
        <f>((B34-C34)/C34)*D34</f>
        <v>177499.99999999997</v>
      </c>
    </row>
    <row r="37" spans="1:5" x14ac:dyDescent="0.35">
      <c r="A37" s="11" t="s">
        <v>26</v>
      </c>
      <c r="B37" s="11"/>
      <c r="C37" s="11"/>
      <c r="D37" s="11"/>
      <c r="E37" s="11"/>
    </row>
    <row r="38" spans="1:5" x14ac:dyDescent="0.35">
      <c r="A38" s="1" t="s">
        <v>8</v>
      </c>
      <c r="B38" s="10" t="s">
        <v>0</v>
      </c>
      <c r="C38" s="10"/>
      <c r="D38" s="10"/>
      <c r="E38" s="1" t="s">
        <v>5</v>
      </c>
    </row>
    <row r="39" spans="1:5" x14ac:dyDescent="0.35">
      <c r="A39" s="1" t="s">
        <v>9</v>
      </c>
      <c r="B39" s="1" t="s">
        <v>28</v>
      </c>
      <c r="C39" s="1" t="s">
        <v>27</v>
      </c>
      <c r="D39" s="1" t="s">
        <v>29</v>
      </c>
      <c r="E39" s="1" t="s">
        <v>1</v>
      </c>
    </row>
    <row r="40" spans="1:5" x14ac:dyDescent="0.35">
      <c r="A40" s="1" t="s">
        <v>23</v>
      </c>
      <c r="B40" s="5">
        <v>32050</v>
      </c>
      <c r="C40" s="1">
        <v>0.8</v>
      </c>
      <c r="D40" s="3">
        <v>10200</v>
      </c>
      <c r="E40" s="5">
        <f>((B40*C40)/D40)+C40</f>
        <v>3.3137254901960782</v>
      </c>
    </row>
    <row r="41" spans="1:5" x14ac:dyDescent="0.35">
      <c r="A41" s="1" t="s">
        <v>24</v>
      </c>
      <c r="B41" s="5">
        <v>53600</v>
      </c>
      <c r="C41" s="1">
        <v>0.8</v>
      </c>
      <c r="D41" s="3">
        <v>10200</v>
      </c>
      <c r="E41" s="5">
        <f>((B41*C41)/D41)+C41</f>
        <v>5.003921568627451</v>
      </c>
    </row>
    <row r="42" spans="1:5" x14ac:dyDescent="0.35">
      <c r="A42" s="1" t="s">
        <v>25</v>
      </c>
      <c r="B42" s="5">
        <v>178000</v>
      </c>
      <c r="C42" s="1">
        <v>0.8</v>
      </c>
      <c r="D42" s="3">
        <v>10000</v>
      </c>
      <c r="E42" s="5">
        <f>((B42*C42)/D42)+C42</f>
        <v>15.040000000000001</v>
      </c>
    </row>
  </sheetData>
  <mergeCells count="11">
    <mergeCell ref="B38:D38"/>
    <mergeCell ref="A1:G1"/>
    <mergeCell ref="B12:F12"/>
    <mergeCell ref="G12:J12"/>
    <mergeCell ref="A11:J11"/>
    <mergeCell ref="A37:E37"/>
    <mergeCell ref="B30:D30"/>
    <mergeCell ref="A29:E29"/>
    <mergeCell ref="B21:H21"/>
    <mergeCell ref="A20:J20"/>
    <mergeCell ref="B2:F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A17-E18F-4E06-B352-7E24ABBBB291}">
  <dimension ref="A1:D13"/>
  <sheetViews>
    <sheetView zoomScale="160" zoomScaleNormal="160" workbookViewId="0">
      <selection activeCell="B12" sqref="B12"/>
    </sheetView>
  </sheetViews>
  <sheetFormatPr defaultRowHeight="14.5" x14ac:dyDescent="0.35"/>
  <cols>
    <col min="1" max="1" width="13.36328125" customWidth="1"/>
    <col min="2" max="2" width="14.7265625" customWidth="1"/>
  </cols>
  <sheetData>
    <row r="1" spans="1:4" x14ac:dyDescent="0.35">
      <c r="A1" t="s">
        <v>38</v>
      </c>
      <c r="B1" t="s">
        <v>39</v>
      </c>
      <c r="C1" t="s">
        <v>40</v>
      </c>
    </row>
    <row r="2" spans="1:4" x14ac:dyDescent="0.35">
      <c r="A2">
        <v>20</v>
      </c>
      <c r="B2">
        <v>5.25</v>
      </c>
      <c r="C2">
        <f>B2/A2</f>
        <v>0.26250000000000001</v>
      </c>
    </row>
    <row r="7" spans="1:4" x14ac:dyDescent="0.35">
      <c r="C7">
        <f>1/(22+4.7)</f>
        <v>3.7453183520599252E-2</v>
      </c>
    </row>
    <row r="8" spans="1:4" x14ac:dyDescent="0.35">
      <c r="A8" s="9" t="s">
        <v>42</v>
      </c>
      <c r="B8" s="9"/>
      <c r="C8" s="9"/>
      <c r="D8" t="s">
        <v>43</v>
      </c>
    </row>
    <row r="9" spans="1:4" x14ac:dyDescent="0.35">
      <c r="A9" t="s">
        <v>33</v>
      </c>
      <c r="B9" t="s">
        <v>41</v>
      </c>
      <c r="C9" t="s">
        <v>34</v>
      </c>
      <c r="D9" t="s">
        <v>1</v>
      </c>
    </row>
    <row r="10" spans="1:4" x14ac:dyDescent="0.35">
      <c r="A10">
        <v>20</v>
      </c>
      <c r="B10">
        <v>2.8</v>
      </c>
      <c r="C10">
        <v>1</v>
      </c>
      <c r="D10">
        <f>A10*(C10/(B10+C10))</f>
        <v>5.2631578947368416</v>
      </c>
    </row>
    <row r="11" spans="1:4" x14ac:dyDescent="0.35">
      <c r="A11">
        <v>5</v>
      </c>
      <c r="B11">
        <v>2.8</v>
      </c>
      <c r="C11">
        <v>1</v>
      </c>
      <c r="D11">
        <f>A11*(C11/(B11+C11))</f>
        <v>1.3157894736842104</v>
      </c>
    </row>
    <row r="13" spans="1:4" x14ac:dyDescent="0.35">
      <c r="A13" t="s">
        <v>42</v>
      </c>
    </row>
  </sheetData>
  <mergeCells count="1"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1E33-9EC0-4609-9E98-D0EC09A717F2}">
  <dimension ref="A2:F21"/>
  <sheetViews>
    <sheetView workbookViewId="0">
      <selection activeCell="D18" sqref="D18"/>
    </sheetView>
  </sheetViews>
  <sheetFormatPr defaultRowHeight="14.5" x14ac:dyDescent="0.35"/>
  <cols>
    <col min="5" max="5" width="16.26953125" customWidth="1"/>
  </cols>
  <sheetData>
    <row r="2" spans="1:6" x14ac:dyDescent="0.35">
      <c r="B2" t="s">
        <v>34</v>
      </c>
      <c r="C2" t="s">
        <v>27</v>
      </c>
      <c r="D2" t="s">
        <v>1</v>
      </c>
      <c r="E2" t="s">
        <v>35</v>
      </c>
    </row>
    <row r="3" spans="1:6" x14ac:dyDescent="0.35">
      <c r="A3" t="s">
        <v>9</v>
      </c>
      <c r="B3" s="4">
        <v>150000</v>
      </c>
      <c r="C3">
        <v>1.2130000000000001</v>
      </c>
      <c r="D3">
        <v>-5</v>
      </c>
      <c r="E3" s="4">
        <f>B3*((C3-D3)/C3-1)</f>
        <v>618301.73124484741</v>
      </c>
    </row>
    <row r="4" spans="1:6" x14ac:dyDescent="0.35">
      <c r="A4">
        <v>-15</v>
      </c>
      <c r="B4" s="4">
        <v>150000</v>
      </c>
      <c r="C4">
        <v>1.2130000000000001</v>
      </c>
      <c r="D4">
        <v>-15</v>
      </c>
      <c r="E4" s="4">
        <f>B4*((C4-D4)/C4-1)</f>
        <v>1854905.1937345425</v>
      </c>
    </row>
    <row r="5" spans="1:6" x14ac:dyDescent="0.35">
      <c r="A5">
        <v>-15</v>
      </c>
      <c r="B5" s="4">
        <v>100000</v>
      </c>
      <c r="C5">
        <v>1.2130000000000001</v>
      </c>
      <c r="D5">
        <v>-15</v>
      </c>
      <c r="E5" s="4">
        <f>B5*((C5-D5)/C5-1)</f>
        <v>1236603.4624896948</v>
      </c>
    </row>
    <row r="9" spans="1:6" x14ac:dyDescent="0.35">
      <c r="B9" t="s">
        <v>34</v>
      </c>
      <c r="C9" t="s">
        <v>35</v>
      </c>
      <c r="D9" t="s">
        <v>27</v>
      </c>
      <c r="E9" t="s">
        <v>1</v>
      </c>
    </row>
    <row r="10" spans="1:6" x14ac:dyDescent="0.35">
      <c r="A10" t="s">
        <v>9</v>
      </c>
      <c r="B10" s="4">
        <v>150000</v>
      </c>
      <c r="C10" s="4">
        <v>619000</v>
      </c>
      <c r="D10">
        <v>1.2130000000000001</v>
      </c>
      <c r="E10">
        <f>-(1+C10/B10)*D10+D10</f>
        <v>-5.0056466666666672</v>
      </c>
    </row>
    <row r="11" spans="1:6" x14ac:dyDescent="0.35">
      <c r="B11" s="4">
        <v>100000</v>
      </c>
      <c r="C11" s="4">
        <v>1240000</v>
      </c>
      <c r="D11">
        <v>1.2130000000000001</v>
      </c>
      <c r="E11">
        <f>-(1+C11/B11)*D11+D11</f>
        <v>-15.0412</v>
      </c>
    </row>
    <row r="16" spans="1:6" x14ac:dyDescent="0.35">
      <c r="B16" t="s">
        <v>33</v>
      </c>
      <c r="C16" t="s">
        <v>1</v>
      </c>
      <c r="D16" s="8" t="s">
        <v>36</v>
      </c>
      <c r="E16" s="8" t="s">
        <v>37</v>
      </c>
      <c r="F16" s="8" t="s">
        <v>6</v>
      </c>
    </row>
    <row r="17" spans="1:6" x14ac:dyDescent="0.35">
      <c r="A17" t="s">
        <v>9</v>
      </c>
      <c r="B17">
        <v>5</v>
      </c>
      <c r="C17">
        <v>-15</v>
      </c>
      <c r="D17">
        <v>0.08</v>
      </c>
      <c r="E17" s="4">
        <v>1400000</v>
      </c>
      <c r="F17" s="4">
        <f>(C17*B17)/(D17*(C17-B17)*E17)</f>
        <v>3.3482142857142859E-5</v>
      </c>
    </row>
    <row r="21" spans="1:6" x14ac:dyDescent="0.35">
      <c r="D21">
        <v>0.1</v>
      </c>
      <c r="E21">
        <v>0.8</v>
      </c>
      <c r="F21">
        <f>D21*E21</f>
        <v>8.0000000000000016E-2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5383-693B-467B-8BF0-E18813148770}">
  <dimension ref="A1:C2"/>
  <sheetViews>
    <sheetView zoomScale="220" zoomScaleNormal="220" workbookViewId="0">
      <selection activeCell="C6" sqref="C6"/>
    </sheetView>
  </sheetViews>
  <sheetFormatPr defaultRowHeight="14.5" x14ac:dyDescent="0.35"/>
  <cols>
    <col min="3" max="3" width="18" customWidth="1"/>
  </cols>
  <sheetData>
    <row r="1" spans="1:3" x14ac:dyDescent="0.35">
      <c r="A1" t="s">
        <v>30</v>
      </c>
      <c r="B1" t="s">
        <v>31</v>
      </c>
      <c r="C1" t="s">
        <v>32</v>
      </c>
    </row>
    <row r="2" spans="1:3" x14ac:dyDescent="0.35">
      <c r="A2">
        <v>15</v>
      </c>
      <c r="B2" s="4">
        <v>10000</v>
      </c>
      <c r="C2" s="7">
        <f>A2/B2 * 10^3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Regulator</vt:lpstr>
      <vt:lpstr>Enable</vt:lpstr>
      <vt:lpstr>TPS63700</vt:lpstr>
      <vt:lpstr>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Hicks</dc:creator>
  <cp:lastModifiedBy>Chase Hicks</cp:lastModifiedBy>
  <dcterms:created xsi:type="dcterms:W3CDTF">2015-06-05T18:17:20Z</dcterms:created>
  <dcterms:modified xsi:type="dcterms:W3CDTF">2026-08-09T18:46:31Z</dcterms:modified>
</cp:coreProperties>
</file>